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a52abfae0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01589219b4534a11"/>
    <x:sheet xmlns:r="http://schemas.openxmlformats.org/officeDocument/2006/relationships" name="Cautions" sheetId="2" r:id="Rdef57fbc30714165"/>
    <x:sheet xmlns:r="http://schemas.openxmlformats.org/officeDocument/2006/relationships" name="DigiKey Upload" sheetId="3" r:id="Rd74cb386f5bf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color theme="1"/>
      <x:name val="Calibri"/>
    </x:font>
    <x:font>
      <x:b/>
      <x:sz val="11"/>
      <x:color rgb="FFFFFFFF"/>
    </x:font>
    <x:font>
      <x:b/>
    </x:font>
    <x:font>
      <x:sz val="10"/>
      <x:color theme="1"/>
      <x:name val="Arial"/>
    </x:font>
    <x:font>
      <x:b/>
      <x:sz val="10"/>
      <x:name val="Arial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0" borderId="0" xfId="0"/>
    <x:xf numFmtId="0" fontId="1" fillId="2" borderId="0" xfId="0" applyAlignment="1">
      <x:alignment vertical="center" wrapText="1"/>
    </x:xf>
    <x:xf numFmtId="0" fontId="0" fillId="4" borderId="1" xfId="0" applyAlignment="1">
      <x:alignment vertical="top" wrapText="1"/>
    </x:xf>
    <x:xf numFmtId="0" fontId="1" fillId="2" borderId="0" xfId="0"/>
    <x:xf numFmtId="0" fontId="3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174b5967a46be" /><Relationship Type="http://schemas.openxmlformats.org/officeDocument/2006/relationships/theme" Target="/xl/theme/theme1.xml" Id="Rd12aba8d47384ee3" /><Relationship Type="http://schemas.openxmlformats.org/officeDocument/2006/relationships/sharedStrings" Target="/xl/sharedStrings.xml" Id="Re4249f4fe50743f7" /><Relationship Type="http://schemas.openxmlformats.org/officeDocument/2006/relationships/worksheet" Target="/xl/worksheets/sheet1.xml" Id="R01589219b4534a11" /><Relationship Type="http://schemas.openxmlformats.org/officeDocument/2006/relationships/worksheet" Target="/xl/worksheets/sheet2.xml" Id="Rdef57fbc30714165" /><Relationship Type="http://schemas.openxmlformats.org/officeDocument/2006/relationships/worksheet" Target="/xl/worksheets/sheet3.xml" Id="Rd74cb386f5bf49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" hidden="0" customWidth="1"/>
    <x:col min="2" max="2" width="30" hidden="0" customWidth="1"/>
    <x:col min="3" max="3" width="6" hidden="0" customWidth="1"/>
    <x:col min="4" max="4" width="14" hidden="0" customWidth="1"/>
    <x:col min="5" max="5" width="30" hidden="0" customWidth="1"/>
    <x:col min="6" max="6" width="18" hidden="0" customWidth="1"/>
    <x:col min="7" max="7" width="26" hidden="0" customWidth="1"/>
    <x:col min="8" max="8" width="20" hidden="0" customWidth="1"/>
    <x:col min="9" max="9" width="34" hidden="0" customWidth="1"/>
    <x:col min="10" max="10" width="52" hidden="0" customWidth="1"/>
  </x:cols>
  <x:sheetData>
    <x:row r="1" ht="30" customHeight="1">
      <x:c r="A1" s="1" t="inlineStr">
        <x:is>
          <x:t xml:space="preserve">#</x:t>
        </x:is>
      </x:c>
      <x:c r="B1" s="1" t="inlineStr">
        <x:is>
          <x:t xml:space="preserve">Reference(s)</x:t>
        </x:is>
      </x:c>
      <x:c r="C1" s="1" t="inlineStr">
        <x:is>
          <x:t xml:space="preserve">Qty</x:t>
        </x:is>
      </x:c>
      <x:c r="D1" s="1" t="inlineStr">
        <x:is>
          <x:t xml:space="preserve">Value</x:t>
        </x:is>
      </x:c>
      <x:c r="E1" s="1" t="inlineStr">
        <x:is>
          <x:t xml:space="preserve">Package / Footprint</x:t>
        </x:is>
      </x:c>
      <x:c r="F1" s="1" t="inlineStr">
        <x:is>
          <x:t xml:space="preserve">Manufacturer</x:t>
        </x:is>
      </x:c>
      <x:c r="G1" s="1" t="inlineStr">
        <x:is>
          <x:t xml:space="preserve">Manufacturer Part Number (MPN)</x:t>
        </x:is>
      </x:c>
      <x:c r="H1" s="1" t="inlineStr">
        <x:is>
          <x:t xml:space="preserve">DigiKey Part Number</x:t>
        </x:is>
      </x:c>
      <x:c r="I1" s="1" t="inlineStr">
        <x:is>
          <x:t xml:space="preserve">Purchasing spec / action</x:t>
        </x:is>
      </x:c>
      <x:c r="J1" s="1" t="inlineStr">
        <x:is>
          <x:t xml:space="preserve">Notes</x:t>
        </x:is>
      </x:c>
    </x:row>
    <x:row r="2" ht="36" customHeight="1">
      <x:c r="A2" s="19" t="n">
        <x:v>1</x:v>
      </x:c>
      <x:c r="B2" s="16" t="str">
        <x:v>C1,C9,C15,C24</x:v>
      </x:c>
      <x:c r="C2" s="19" t="n">
        <x:v>4</x:v>
      </x:c>
      <x:c r="D2" s="16" t="str">
        <x:v>10uF</x:v>
      </x:c>
      <x:c r="E2" s="16" t="str">
        <x:v>C_0402_1005Metric_Pad0.74x0.62mm_HandSolder</x:v>
      </x:c>
      <x:c r="F2" s="16" t="str"/>
      <x:c r="G2" s="16" t="str"/>
      <x:c r="H2" s="16" t="str"/>
      <x:c r="I2" s="16" t="str">
        <x:v>Select exact supplier part matching value and footprint.</x:v>
      </x:c>
      <x:c r="J2" s="16" t="str"/>
    </x:row>
    <x:row r="3" ht="36" customHeight="1">
      <x:c r="A3" s="19" t="n">
        <x:v>2</x:v>
      </x:c>
      <x:c r="B3" s="16" t="str">
        <x:v>C2,C3,C11,C17,C23</x:v>
      </x:c>
      <x:c r="C3" s="19" t="n">
        <x:v>5</x:v>
      </x:c>
      <x:c r="D3" s="16" t="str">
        <x:v>1uF</x:v>
      </x:c>
      <x:c r="E3" s="16" t="str">
        <x:v>C_0402_1005Metric_Pad0.74x0.62mm_HandSolder</x:v>
      </x:c>
      <x:c r="F3" s="16" t="str"/>
      <x:c r="G3" s="16" t="str"/>
      <x:c r="H3" s="16" t="str"/>
      <x:c r="I3" s="16" t="str">
        <x:v>Select exact supplier part matching value and footprint.</x:v>
      </x:c>
      <x:c r="J3" s="16" t="str"/>
    </x:row>
    <x:row r="4" ht="36" customHeight="1">
      <x:c r="A4" s="19" t="n">
        <x:v>3</x:v>
      </x:c>
      <x:c r="B4" s="16" t="str">
        <x:v>C5-C8,C10,C12,C18,C26-C31</x:v>
      </x:c>
      <x:c r="C4" s="19" t="n">
        <x:v>13</x:v>
      </x:c>
      <x:c r="D4" s="16" t="str">
        <x:v>100nF</x:v>
      </x:c>
      <x:c r="E4" s="16" t="str">
        <x:v>C_0402_1005Metric_Pad0.74x0.62mm_HandSolder</x:v>
      </x:c>
      <x:c r="F4" s="16" t="str"/>
      <x:c r="G4" s="16" t="str"/>
      <x:c r="H4" s="16" t="str"/>
      <x:c r="I4" s="16" t="str">
        <x:v>Select exact supplier part matching value and footprint.</x:v>
      </x:c>
      <x:c r="J4" s="16" t="str"/>
    </x:row>
    <x:row r="5" ht="36" customHeight="1">
      <x:c r="A5" s="19" t="n">
        <x:v>4</x:v>
      </x:c>
      <x:c r="B5" s="16" t="str">
        <x:v>C13,C14</x:v>
      </x:c>
      <x:c r="C5" s="19" t="n">
        <x:v>2</x:v>
      </x:c>
      <x:c r="D5" s="16" t="str">
        <x:v>8pF</x:v>
      </x:c>
      <x:c r="E5" s="16" t="str">
        <x:v>C_0402_1005Metric_Pad0.74x0.62mm_HandSolder</x:v>
      </x:c>
      <x:c r="F5" s="16" t="str"/>
      <x:c r="G5" s="16" t="str"/>
      <x:c r="H5" s="16" t="str"/>
      <x:c r="I5" s="16" t="str">
        <x:v>Select exact supplier part matching value and footprint.</x:v>
      </x:c>
      <x:c r="J5" s="16" t="str"/>
    </x:row>
    <x:row r="6" ht="36" customHeight="1">
      <x:c r="A6" s="19" t="n">
        <x:v>5</x:v>
      </x:c>
      <x:c r="B6" s="16" t="str">
        <x:v>C16</x:v>
      </x:c>
      <x:c r="C6" s="19" t="n">
        <x:v>1</x:v>
      </x:c>
      <x:c r="D6" s="16" t="str">
        <x:v>220nF</x:v>
      </x:c>
      <x:c r="E6" s="16" t="str">
        <x:v>C_0402_1005Metric_Pad0.74x0.62mm_HandSolder</x:v>
      </x:c>
      <x:c r="F6" s="16" t="str"/>
      <x:c r="G6" s="16" t="str"/>
      <x:c r="H6" s="16" t="str"/>
      <x:c r="I6" s="16" t="str">
        <x:v>Select exact supplier part matching value and footprint.</x:v>
      </x:c>
      <x:c r="J6" s="16" t="str"/>
    </x:row>
    <x:row r="7" ht="36" customHeight="1">
      <x:c r="A7" s="19" t="n">
        <x:v>6</x:v>
      </x:c>
      <x:c r="B7" s="16" t="str">
        <x:v>C19,C20</x:v>
      </x:c>
      <x:c r="C7" s="19" t="n">
        <x:v>2</x:v>
      </x:c>
      <x:c r="D7" s="16" t="str">
        <x:v>22uF</x:v>
      </x:c>
      <x:c r="E7" s="16" t="str">
        <x:v>C_0402_1005Metric_Pad0.74x0.62mm_HandSolder</x:v>
      </x:c>
      <x:c r="F7" s="16" t="str"/>
      <x:c r="G7" s="16" t="str"/>
      <x:c r="H7" s="16" t="str"/>
      <x:c r="I7" s="16" t="str">
        <x:v>Select exact supplier part matching value and footprint.</x:v>
      </x:c>
      <x:c r="J7" s="16" t="str"/>
    </x:row>
    <x:row r="8" ht="36" customHeight="1">
      <x:c r="A8" s="19" t="n">
        <x:v>7</x:v>
      </x:c>
      <x:c r="B8" s="16" t="str">
        <x:v>D1</x:v>
      </x:c>
      <x:c r="C8" s="19" t="n">
        <x:v>1</x:v>
      </x:c>
      <x:c r="D8" s="16" t="str">
        <x:v>BZT52-C15S-AU_R1_000A1</x:v>
      </x:c>
      <x:c r="E8" s="16" t="str">
        <x:v>D_SOD-323_HandSoldering</x:v>
      </x:c>
      <x:c r="F8" s="16" t="str"/>
      <x:c r="G8" s="16" t="str">
        <x:v>BZT52-C15S-AU_R1_000A1</x:v>
      </x:c>
      <x:c r="H8" s="16" t="str"/>
      <x:c r="I8" s="16" t="str">
        <x:v>Match package and ordering suffix.</x:v>
      </x:c>
      <x:c r="J8" s="16" t="str">
        <x:v>Part identifier from schematic value; verify exact ordering code.</x:v>
      </x:c>
    </x:row>
    <x:row r="9" ht="36" customHeight="1">
      <x:c r="A9" s="19" t="n">
        <x:v>8</x:v>
      </x:c>
      <x:c r="B9" s="16" t="str">
        <x:v>D2</x:v>
      </x:c>
      <x:c r="C9" s="19" t="n">
        <x:v>1</x:v>
      </x:c>
      <x:c r="D9" s="16" t="str">
        <x:v>SMF16A</x:v>
      </x:c>
      <x:c r="E9" s="16" t="str">
        <x:v>SMF16A</x:v>
      </x:c>
      <x:c r="F9" s="16" t="str">
        <x:v>Littelfuse</x:v>
      </x:c>
      <x:c r="G9" s="16" t="str">
        <x:v>SMF16A</x:v>
      </x:c>
      <x:c r="H9" s="16" t="str"/>
      <x:c r="I9" s="16" t="str">
        <x:v>Match package and ordering suffix.</x:v>
      </x:c>
      <x:c r="J9" s="16" t="str">
        <x:v>LCSC: C207257</x:v>
      </x:c>
    </x:row>
    <x:row r="10" ht="36" customHeight="1">
      <x:c r="A10" s="19" t="n">
        <x:v>9</x:v>
      </x:c>
      <x:c r="B10" s="16" t="str">
        <x:v>D3,D5</x:v>
      </x:c>
      <x:c r="C10" s="19" t="n">
        <x:v>2</x:v>
      </x:c>
      <x:c r="D10" s="16" t="str">
        <x:v>LED</x:v>
      </x:c>
      <x:c r="E10" s="16" t="str">
        <x:v>AP2012EC</x:v>
      </x:c>
      <x:c r="F10" s="16" t="str"/>
      <x:c r="G10" s="16" t="str"/>
      <x:c r="H10" s="16" t="str"/>
      <x:c r="I10" s="16" t="str">
        <x:v>Select exact supplier part matching value and footprint.</x:v>
      </x:c>
      <x:c r="J10" s="16" t="str"/>
    </x:row>
    <x:row r="11" ht="36" customHeight="1">
      <x:c r="A11" s="19" t="n">
        <x:v>10</x:v>
      </x:c>
      <x:c r="B11" s="16" t="str">
        <x:v>D4,D6,D9,D12</x:v>
      </x:c>
      <x:c r="C11" s="19" t="n">
        <x:v>4</x:v>
      </x:c>
      <x:c r="D11" s="16" t="str">
        <x:v>AQ1005-01ETG</x:v>
      </x:c>
      <x:c r="E11" s="16" t="str">
        <x:v>AQ1005-01ETG</x:v>
      </x:c>
      <x:c r="F11" s="16" t="str">
        <x:v>Littelfuse</x:v>
      </x:c>
      <x:c r="G11" s="16" t="str">
        <x:v>AQ1005-01ETG</x:v>
      </x:c>
      <x:c r="H11" s="16" t="str"/>
      <x:c r="I11" s="16" t="str">
        <x:v>Match package and ordering suffix.</x:v>
      </x:c>
      <x:c r="J11" s="16" t="str"/>
    </x:row>
    <x:row r="12" ht="36" customHeight="1">
      <x:c r="A12" s="19" t="n">
        <x:v>11</x:v>
      </x:c>
      <x:c r="B12" s="16" t="str">
        <x:v>D10,D11</x:v>
      </x:c>
      <x:c r="C12" s="19" t="n">
        <x:v>2</x:v>
      </x:c>
      <x:c r="D12" s="16" t="str">
        <x:v>PMEG2010BER</x:v>
      </x:c>
      <x:c r="E12" s="16" t="str">
        <x:v>Nexperia_CFP3_SOD-123W</x:v>
      </x:c>
      <x:c r="F12" s="16" t="str"/>
      <x:c r="G12" s="16" t="str">
        <x:v>PMEG2010BER</x:v>
      </x:c>
      <x:c r="H12" s="16" t="str"/>
      <x:c r="I12" s="16" t="str">
        <x:v>Match package and ordering suffix.</x:v>
      </x:c>
      <x:c r="J12" s="16" t="str">
        <x:v>Part identifier from schematic value; verify exact ordering code.</x:v>
      </x:c>
    </x:row>
    <x:row r="13" ht="36" customHeight="1">
      <x:c r="A13" s="19" t="n">
        <x:v>12</x:v>
      </x:c>
      <x:c r="B13" s="16" t="str">
        <x:v>D13,D14</x:v>
      </x:c>
      <x:c r="C13" s="19" t="n">
        <x:v>2</x:v>
      </x:c>
      <x:c r="D13" s="16" t="str">
        <x:v>PMEG6010ER</x:v>
      </x:c>
      <x:c r="E13" s="16" t="str">
        <x:v>Nexperia_CFP3_SOD-123W</x:v>
      </x:c>
      <x:c r="F13" s="16" t="str"/>
      <x:c r="G13" s="16" t="str">
        <x:v>PMEG6010ER</x:v>
      </x:c>
      <x:c r="H13" s="16" t="str"/>
      <x:c r="I13" s="16" t="str">
        <x:v>Match package and ordering suffix.</x:v>
      </x:c>
      <x:c r="J13" s="16" t="str">
        <x:v>Part identifier from schematic value; verify exact ordering code.</x:v>
      </x:c>
    </x:row>
    <x:row r="14" ht="36" customHeight="1">
      <x:c r="A14" s="19" t="n">
        <x:v>13</x:v>
      </x:c>
      <x:c r="B14" s="16" t="str">
        <x:v>F1</x:v>
      </x:c>
      <x:c r="C14" s="19" t="n">
        <x:v>1</x:v>
      </x:c>
      <x:c r="D14" s="16" t="str">
        <x:v>300mA Polyfuse</x:v>
      </x:c>
      <x:c r="E14" s="16" t="str">
        <x:v>Fuse_0805_2012Metric_Pad1.15x1.40mm_HandSolder</x:v>
      </x:c>
      <x:c r="F14" s="16" t="str"/>
      <x:c r="G14" s="16" t="str"/>
      <x:c r="H14" s="16" t="str"/>
      <x:c r="I14" s="16" t="str">
        <x:v>Select exact supplier part matching value and footprint.</x:v>
      </x:c>
      <x:c r="J14" s="16" t="str"/>
    </x:row>
    <x:row r="15" ht="36" customHeight="1">
      <x:c r="A15" s="19" t="n">
        <x:v>14</x:v>
      </x:c>
      <x:c r="B15" s="16" t="str">
        <x:v>FB1</x:v>
      </x:c>
      <x:c r="C15" s="19" t="n">
        <x:v>1</x:v>
      </x:c>
      <x:c r="D15" s="16" t="str">
        <x:v>FerriteBead</x:v>
      </x:c>
      <x:c r="E15" s="16" t="str">
        <x:v>C_0603_1608Metric_Pad1.08x0.95mm_HandSolder</x:v>
      </x:c>
      <x:c r="F15" s="16" t="str"/>
      <x:c r="G15" s="16" t="str"/>
      <x:c r="H15" s="16" t="str"/>
      <x:c r="I15" s="16" t="str">
        <x:v>Select exact supplier part matching value and footprint.</x:v>
      </x:c>
      <x:c r="J15" s="16" t="str"/>
    </x:row>
    <x:row r="16" ht="36" customHeight="1">
      <x:c r="A16" s="19" t="n">
        <x:v>15</x:v>
      </x:c>
      <x:c r="B16" s="16" t="str">
        <x:v>J1</x:v>
      </x:c>
      <x:c r="C16" s="19" t="n">
        <x:v>1</x:v>
      </x:c>
      <x:c r="D16" s="16" t="str">
        <x:v>Conn_SWD</x:v>
      </x:c>
      <x:c r="E16" s="16" t="str">
        <x:v>PinHeader_1x04_P2.54mm_Vertical</x:v>
      </x:c>
      <x:c r="F16" s="16" t="str"/>
      <x:c r="G16" s="16" t="str"/>
      <x:c r="H16" s="16" t="str"/>
      <x:c r="I16" s="16" t="str">
        <x:v>Select exact supplier part matching value and footprint.</x:v>
      </x:c>
      <x:c r="J16" s="16" t="str"/>
    </x:row>
    <x:row r="17" ht="36" customHeight="1">
      <x:c r="A17" s="19" t="n">
        <x:v>16</x:v>
      </x:c>
      <x:c r="B17" s="16" t="str">
        <x:v>J2</x:v>
      </x:c>
      <x:c r="C17" s="19" t="n">
        <x:v>1</x:v>
      </x:c>
      <x:c r="D17" s="16" t="str">
        <x:v>APPPD Connector</x:v>
      </x:c>
      <x:c r="E17" s="16" t="str">
        <x:v>MOLEX_430450800</x:v>
      </x:c>
      <x:c r="F17" s="16" t="str"/>
      <x:c r="G17" s="16" t="str"/>
      <x:c r="H17" s="16" t="str"/>
      <x:c r="I17" s="16" t="str">
        <x:v>Select exact supplier part matching value and footprint.</x:v>
      </x:c>
      <x:c r="J17" s="16" t="str"/>
    </x:row>
    <x:row r="18" ht="36" customHeight="1">
      <x:c r="A18" s="19" t="n">
        <x:v>17</x:v>
      </x:c>
      <x:c r="B18" s="16" t="str">
        <x:v>J4</x:v>
      </x:c>
      <x:c r="C18" s="19" t="n">
        <x:v>1</x:v>
      </x:c>
      <x:c r="D18" s="16" t="str">
        <x:v>2601-1102</x:v>
      </x:c>
      <x:c r="E18" s="16" t="str">
        <x:v>WAGO-2601-1102</x:v>
      </x:c>
      <x:c r="F18" s="16" t="str"/>
      <x:c r="G18" s="16" t="str"/>
      <x:c r="H18" s="16" t="str"/>
      <x:c r="I18" s="16" t="str">
        <x:v>Select exact supplier part matching value and footprint.</x:v>
      </x:c>
      <x:c r="J18" s="16" t="str"/>
    </x:row>
    <x:row r="19" ht="50" customHeight="1">
      <x:c r="A19" s="19" t="n">
        <x:v>18</x:v>
      </x:c>
      <x:c r="B19" s="16" t="str">
        <x:v>J5</x:v>
      </x:c>
      <x:c r="C19" s="19" t="n">
        <x:v>1</x:v>
      </x:c>
      <x:c r="D19" s="16" t="str">
        <x:v>USB_C_Receptacle_USB2.0_16P</x:v>
      </x:c>
      <x:c r="E19" s="16" t="str">
        <x:v>USB-C-SMD_TYPE-C-16PIN-2MD-073</x:v>
      </x:c>
      <x:c r="F19" s="16" t="str"/>
      <x:c r="G19" s="16" t="str"/>
      <x:c r="H19" s="16" t="str"/>
      <x:c r="I19" s="16" t="str">
        <x:v>Select exact supplier part matching value and footprint.</x:v>
      </x:c>
      <x:c r="J19" s="16" t="str">
        <x:v>LCSC: C2765186</x:v>
      </x:c>
    </x:row>
    <x:row r="20" ht="36" customHeight="1">
      <x:c r="A20" s="19" t="n">
        <x:v>19</x:v>
      </x:c>
      <x:c r="B20" s="16" t="str">
        <x:v>L1</x:v>
      </x:c>
      <x:c r="C20" s="19" t="n">
        <x:v>1</x:v>
      </x:c>
      <x:c r="D20" s="16" t="str">
        <x:v>8.2uH, 86m</x:v>
      </x:c>
      <x:c r="E20" s="16" t="str">
        <x:v>L_Vishay_IHLP-1616</x:v>
      </x:c>
      <x:c r="F20" s="16" t="str"/>
      <x:c r="G20" s="16" t="str"/>
      <x:c r="H20" s="16" t="str"/>
      <x:c r="I20" s="16" t="str">
        <x:v>Select exact supplier part matching value and footprint.</x:v>
      </x:c>
      <x:c r="J20" s="16" t="str"/>
    </x:row>
    <x:row r="21" ht="36" customHeight="1">
      <x:c r="A21" s="19" t="n">
        <x:v>20</x:v>
      </x:c>
      <x:c r="B21" s="16" t="str">
        <x:v>LED1</x:v>
      </x:c>
      <x:c r="C21" s="19" t="n">
        <x:v>1</x:v>
      </x:c>
      <x:c r="D21" s="16" t="str">
        <x:v>XL-2012SURUGC</x:v>
      </x:c>
      <x:c r="E21" s="16" t="str">
        <x:v>XL-2012SURUGC</x:v>
      </x:c>
      <x:c r="F21" s="16" t="str">
        <x:v>XINGLIGHT(成兴光)</x:v>
      </x:c>
      <x:c r="G21" s="16" t="str">
        <x:v>XL-2012SURUGC</x:v>
      </x:c>
      <x:c r="H21" s="16" t="str"/>
      <x:c r="I21" s="16" t="str">
        <x:v>Match package and ordering suffix.</x:v>
      </x:c>
      <x:c r="J21" s="16" t="str">
        <x:v>LCSC: C965845</x:v>
      </x:c>
    </x:row>
    <x:row r="22" ht="36" customHeight="1">
      <x:c r="A22" s="19" t="n">
        <x:v>21</x:v>
      </x:c>
      <x:c r="B22" s="16" t="str">
        <x:v>Q1,Q2</x:v>
      </x:c>
      <x:c r="C22" s="19" t="n">
        <x:v>2</x:v>
      </x:c>
      <x:c r="D22" s="16" t="str">
        <x:v>AO3400A</x:v>
      </x:c>
      <x:c r="E22" s="16" t="str">
        <x:v>SOT-23</x:v>
      </x:c>
      <x:c r="F22" s="16" t="str">
        <x:v>Alpha &amp; Omega</x:v>
      </x:c>
      <x:c r="G22" s="16" t="str">
        <x:v>AO3400A</x:v>
      </x:c>
      <x:c r="H22" s="16" t="str"/>
      <x:c r="I22" s="16" t="str">
        <x:v>Match package and ordering suffix.</x:v>
      </x:c>
      <x:c r="J22" s="16" t="str"/>
    </x:row>
    <x:row r="23" ht="36" customHeight="1">
      <x:c r="A23" s="19" t="n">
        <x:v>22</x:v>
      </x:c>
      <x:c r="B23" s="16" t="str">
        <x:v>Q3</x:v>
      </x:c>
      <x:c r="C23" s="19" t="n">
        <x:v>1</x:v>
      </x:c>
      <x:c r="D23" s="16" t="str">
        <x:v>PMV100EPA</x:v>
      </x:c>
      <x:c r="E23" s="16" t="str">
        <x:v>SOT-23</x:v>
      </x:c>
      <x:c r="F23" s="16" t="str"/>
      <x:c r="G23" s="16" t="str">
        <x:v>PMV100EPA</x:v>
      </x:c>
      <x:c r="H23" s="16" t="str"/>
      <x:c r="I23" s="16" t="str">
        <x:v>Match package and ordering suffix.</x:v>
      </x:c>
      <x:c r="J23" s="16" t="str">
        <x:v>Part identifier from schematic value; verify exact ordering code.</x:v>
      </x:c>
    </x:row>
    <x:row r="24" ht="36" customHeight="1">
      <x:c r="A24" s="19" t="n">
        <x:v>23</x:v>
      </x:c>
      <x:c r="B24" s="16" t="str">
        <x:v>R1,R4-R6</x:v>
      </x:c>
      <x:c r="C24" s="19" t="n">
        <x:v>4</x:v>
      </x:c>
      <x:c r="D24" s="16" t="str">
        <x:v>10k</x:v>
      </x:c>
      <x:c r="E24" s="16" t="str">
        <x:v>R_0402_1005Metric_Pad0.72x0.64mm_HandSolder</x:v>
      </x:c>
      <x:c r="F24" s="16" t="str"/>
      <x:c r="G24" s="16" t="str"/>
      <x:c r="H24" s="16" t="str"/>
      <x:c r="I24" s="16" t="str">
        <x:v>Select exact supplier part matching value and footprint.</x:v>
      </x:c>
      <x:c r="J24" s="16" t="str"/>
    </x:row>
    <x:row r="25" ht="36" customHeight="1">
      <x:c r="A25" s="19" t="n">
        <x:v>24</x:v>
      </x:c>
      <x:c r="B25" s="16" t="str">
        <x:v>R2,R3</x:v>
      </x:c>
      <x:c r="C25" s="19" t="n">
        <x:v>2</x:v>
      </x:c>
      <x:c r="D25" s="16" t="str">
        <x:v>5.1k</x:v>
      </x:c>
      <x:c r="E25" s="16" t="str">
        <x:v>R_0402_1005Metric_Pad0.72x0.64mm_HandSolder</x:v>
      </x:c>
      <x:c r="F25" s="16" t="str"/>
      <x:c r="G25" s="16" t="str"/>
      <x:c r="H25" s="16" t="str"/>
      <x:c r="I25" s="16" t="str">
        <x:v>Select exact supplier part matching value and footprint.</x:v>
      </x:c>
      <x:c r="J25" s="16" t="str"/>
    </x:row>
    <x:row r="26" ht="36" customHeight="1">
      <x:c r="A26" s="19" t="n">
        <x:v>25</x:v>
      </x:c>
      <x:c r="B26" s="16" t="str">
        <x:v>R7,R14,R19,R26-R28,R33</x:v>
      </x:c>
      <x:c r="C26" s="19" t="n">
        <x:v>7</x:v>
      </x:c>
      <x:c r="D26" s="16" t="str">
        <x:v>150</x:v>
      </x:c>
      <x:c r="E26" s="16" t="str">
        <x:v>R_0402_1005Metric_Pad0.72x0.64mm_HandSolder</x:v>
      </x:c>
      <x:c r="F26" s="16" t="str"/>
      <x:c r="G26" s="16" t="str"/>
      <x:c r="H26" s="16" t="str"/>
      <x:c r="I26" s="16" t="str">
        <x:v>Select exact supplier part matching value and footprint.</x:v>
      </x:c>
      <x:c r="J26" s="16" t="str"/>
    </x:row>
    <x:row r="27" ht="36" customHeight="1">
      <x:c r="A27" s="19" t="n">
        <x:v>26</x:v>
      </x:c>
      <x:c r="B27" s="16" t="str">
        <x:v>R8</x:v>
      </x:c>
      <x:c r="C27" s="19" t="n">
        <x:v>1</x:v>
      </x:c>
      <x:c r="D27" s="16" t="str">
        <x:v>10K</x:v>
      </x:c>
      <x:c r="E27" s="16" t="str">
        <x:v>R_0402_1005Metric_Pad0.72x0.64mm_HandSolder</x:v>
      </x:c>
      <x:c r="F27" s="16" t="str"/>
      <x:c r="G27" s="16" t="str"/>
      <x:c r="H27" s="16" t="str"/>
      <x:c r="I27" s="16" t="str">
        <x:v>Select exact supplier part matching value and footprint.</x:v>
      </x:c>
      <x:c r="J27" s="16" t="str"/>
    </x:row>
    <x:row r="28" ht="36" customHeight="1">
      <x:c r="A28" s="19" t="n">
        <x:v>27</x:v>
      </x:c>
      <x:c r="B28" s="16" t="str">
        <x:v>R9-R11,R15,R29-R32</x:v>
      </x:c>
      <x:c r="C28" s="19" t="n">
        <x:v>8</x:v>
      </x:c>
      <x:c r="D28" s="16" t="str">
        <x:v>100k</x:v>
      </x:c>
      <x:c r="E28" s="16" t="str">
        <x:v>R_0402_1005Metric_Pad0.72x0.64mm_HandSolder</x:v>
      </x:c>
      <x:c r="F28" s="16" t="str"/>
      <x:c r="G28" s="16" t="str"/>
      <x:c r="H28" s="16" t="str"/>
      <x:c r="I28" s="16" t="str">
        <x:v>Select exact supplier part matching value and footprint.</x:v>
      </x:c>
      <x:c r="J28" s="16" t="str"/>
    </x:row>
    <x:row r="29" ht="36" customHeight="1">
      <x:c r="A29" s="19" t="n">
        <x:v>28</x:v>
      </x:c>
      <x:c r="B29" s="16" t="str">
        <x:v>R12</x:v>
      </x:c>
      <x:c r="C29" s="19" t="n">
        <x:v>1</x:v>
      </x:c>
      <x:c r="D29" s="16" t="str">
        <x:v>24.9k</x:v>
      </x:c>
      <x:c r="E29" s="16" t="str">
        <x:v>R_0402_1005Metric_Pad0.72x0.64mm_HandSolder</x:v>
      </x:c>
      <x:c r="F29" s="16" t="str"/>
      <x:c r="G29" s="16" t="str"/>
      <x:c r="H29" s="16" t="str"/>
      <x:c r="I29" s="16" t="str">
        <x:v>Select exact supplier part matching value and footprint.</x:v>
      </x:c>
      <x:c r="J29" s="16" t="str"/>
    </x:row>
    <x:row r="30" ht="36" customHeight="1">
      <x:c r="A30" s="19" t="n">
        <x:v>29</x:v>
      </x:c>
      <x:c r="B30" s="16" t="str">
        <x:v>R20</x:v>
      </x:c>
      <x:c r="C30" s="19" t="n">
        <x:v>1</x:v>
      </x:c>
      <x:c r="D30" s="16" t="str">
        <x:v>470</x:v>
      </x:c>
      <x:c r="E30" s="16" t="str">
        <x:v>R_0402_1005Metric_Pad0.72x0.64mm_HandSolder</x:v>
      </x:c>
      <x:c r="F30" s="16" t="str"/>
      <x:c r="G30" s="16" t="str"/>
      <x:c r="H30" s="16" t="str"/>
      <x:c r="I30" s="16" t="str">
        <x:v>Select exact supplier part matching value and footprint.</x:v>
      </x:c>
      <x:c r="J30" s="16" t="str"/>
    </x:row>
    <x:row r="31" ht="36" customHeight="1">
      <x:c r="A31" s="19" t="n">
        <x:v>30</x:v>
      </x:c>
      <x:c r="B31" s="16" t="str">
        <x:v>R21,R22</x:v>
      </x:c>
      <x:c r="C31" s="19" t="n">
        <x:v>2</x:v>
      </x:c>
      <x:c r="D31" s="16" t="str">
        <x:v>1k</x:v>
      </x:c>
      <x:c r="E31" s="16" t="str">
        <x:v>R_0402_1005Metric_Pad0.72x0.64mm_HandSolder</x:v>
      </x:c>
      <x:c r="F31" s="16" t="str"/>
      <x:c r="G31" s="16" t="str"/>
      <x:c r="H31" s="16" t="str"/>
      <x:c r="I31" s="16" t="str">
        <x:v>Select exact supplier part matching value and footprint.</x:v>
      </x:c>
      <x:c r="J31" s="16" t="str"/>
    </x:row>
    <x:row r="32" ht="36" customHeight="1">
      <x:c r="A32" s="19" t="n">
        <x:v>31</x:v>
      </x:c>
      <x:c r="B32" s="16" t="str">
        <x:v>R38-R41</x:v>
      </x:c>
      <x:c r="C32" s="19" t="n">
        <x:v>4</x:v>
      </x:c>
      <x:c r="D32" s="16" t="str">
        <x:v>150k</x:v>
      </x:c>
      <x:c r="E32" s="16" t="str">
        <x:v>R_0402_1005Metric_Pad0.72x0.64mm_HandSolder</x:v>
      </x:c>
      <x:c r="F32" s="16" t="str"/>
      <x:c r="G32" s="16" t="str"/>
      <x:c r="H32" s="16" t="str"/>
      <x:c r="I32" s="16" t="str">
        <x:v>Select exact supplier part matching value and footprint.</x:v>
      </x:c>
      <x:c r="J32" s="16" t="str"/>
    </x:row>
    <x:row r="33" ht="36" customHeight="1">
      <x:c r="A33" s="19" t="n">
        <x:v>32</x:v>
      </x:c>
      <x:c r="B33" s="16" t="str">
        <x:v>SW1</x:v>
      </x:c>
      <x:c r="C33" s="19" t="n">
        <x:v>1</x:v>
      </x:c>
      <x:c r="D33" s="16" t="str">
        <x:v>NRST</x:v>
      </x:c>
      <x:c r="E33" s="16" t="str">
        <x:v>SW-SMD_L3.9-W3.0-P4.45</x:v>
      </x:c>
      <x:c r="F33" s="16" t="str">
        <x:v>XUNPU(讯普)</x:v>
      </x:c>
      <x:c r="G33" s="16" t="str">
        <x:v>TS-1088-AR02016</x:v>
      </x:c>
      <x:c r="H33" s="16" t="str"/>
      <x:c r="I33" s="16" t="str">
        <x:v>Match package and ordering suffix.</x:v>
      </x:c>
      <x:c r="J33" s="16" t="str">
        <x:v>LCSC: C720477</x:v>
      </x:c>
    </x:row>
    <x:row r="34" ht="36" customHeight="1">
      <x:c r="A34" s="19" t="n">
        <x:v>33</x:v>
      </x:c>
      <x:c r="B34" s="16" t="str">
        <x:v>SW2</x:v>
      </x:c>
      <x:c r="C34" s="19" t="n">
        <x:v>1</x:v>
      </x:c>
      <x:c r="D34" s="16" t="str">
        <x:v>BOOT0</x:v>
      </x:c>
      <x:c r="E34" s="16" t="str">
        <x:v>SW-SMD_L3.9-W3.0-P4.45</x:v>
      </x:c>
      <x:c r="F34" s="16" t="str">
        <x:v>XUNPU(讯普)</x:v>
      </x:c>
      <x:c r="G34" s="16" t="str">
        <x:v>TS-1088-AR02016</x:v>
      </x:c>
      <x:c r="H34" s="16" t="str"/>
      <x:c r="I34" s="16" t="str">
        <x:v>Match package and ordering suffix.</x:v>
      </x:c>
      <x:c r="J34" s="16" t="str">
        <x:v>LCSC: C720477</x:v>
      </x:c>
    </x:row>
    <x:row r="35" ht="36" customHeight="1">
      <x:c r="A35" s="19" t="n">
        <x:v>34</x:v>
      </x:c>
      <x:c r="B35" s="16" t="str">
        <x:v>TP1</x:v>
      </x:c>
      <x:c r="C35" s="19" t="n">
        <x:v>1</x:v>
      </x:c>
      <x:c r="D35" s="16" t="str">
        <x:v>TPS1</x:v>
      </x:c>
      <x:c r="E35" s="16" t="str">
        <x:v>TestPoint_Keystone_5000-5004_Miniature</x:v>
      </x:c>
      <x:c r="F35" s="16" t="str"/>
      <x:c r="G35" s="16" t="str"/>
      <x:c r="H35" s="16" t="str"/>
      <x:c r="I35" s="16" t="str">
        <x:v>Optional physical test point; select matching footprint.</x:v>
      </x:c>
      <x:c r="J35" s="16" t="str"/>
    </x:row>
    <x:row r="36" ht="36" customHeight="1">
      <x:c r="A36" s="19" t="n">
        <x:v>35</x:v>
      </x:c>
      <x:c r="B36" s="16" t="str">
        <x:v>TP2</x:v>
      </x:c>
      <x:c r="C36" s="19" t="n">
        <x:v>1</x:v>
      </x:c>
      <x:c r="D36" s="16" t="str">
        <x:v>TPS2</x:v>
      </x:c>
      <x:c r="E36" s="16" t="str">
        <x:v>TestPoint_Keystone_5000-5004_Miniature</x:v>
      </x:c>
      <x:c r="F36" s="16" t="str"/>
      <x:c r="G36" s="16" t="str"/>
      <x:c r="H36" s="16" t="str"/>
      <x:c r="I36" s="16" t="str">
        <x:v>Optional physical test point; select matching footprint.</x:v>
      </x:c>
      <x:c r="J36" s="16" t="str"/>
    </x:row>
    <x:row r="37" ht="36" customHeight="1">
      <x:c r="A37" s="19" t="n">
        <x:v>36</x:v>
      </x:c>
      <x:c r="B37" s="16" t="str">
        <x:v>TP3,TP4</x:v>
      </x:c>
      <x:c r="C37" s="19" t="n">
        <x:v>2</x:v>
      </x:c>
      <x:c r="D37" s="16" t="str">
        <x:v>BPS</x:v>
      </x:c>
      <x:c r="E37" s="16" t="str">
        <x:v>TestPoint_Keystone_5000-5004_Miniature</x:v>
      </x:c>
      <x:c r="F37" s="16" t="str"/>
      <x:c r="G37" s="16" t="str"/>
      <x:c r="H37" s="16" t="str"/>
      <x:c r="I37" s="16" t="str">
        <x:v>Optional physical test point; select matching footprint.</x:v>
      </x:c>
      <x:c r="J37" s="16" t="str"/>
    </x:row>
    <x:row r="38" ht="36" customHeight="1">
      <x:c r="A38" s="20" t="n">
        <x:v>37</x:v>
      </x:c>
      <x:c r="B38" s="17" t="str">
        <x:v>TP5</x:v>
      </x:c>
      <x:c r="C38" s="20" t="n">
        <x:v>1</x:v>
      </x:c>
      <x:c r="D38" s="17" t="str">
        <x:v>CAN+</x:v>
      </x:c>
      <x:c r="E38" s="17" t="str">
        <x:v>TestPoint_THTPad_D2.0mm_Drill1.0mm</x:v>
      </x:c>
      <x:c r="F38" s="17" t="str"/>
      <x:c r="G38" s="17" t="str"/>
      <x:c r="H38" s="17" t="str"/>
      <x:c r="I38" s="17" t="str">
        <x:v>Optional physical test point; select matching footprint.</x:v>
      </x:c>
      <x:c r="J38" s="17" t="str"/>
    </x:row>
    <x:row r="39" ht="36" customHeight="1">
      <x:c r="A39" s="20" t="n">
        <x:v>38</x:v>
      </x:c>
      <x:c r="B39" s="18" t="str">
        <x:v>TP6</x:v>
      </x:c>
      <x:c r="C39" s="21" t="n">
        <x:v>1</x:v>
      </x:c>
      <x:c r="D39" s="17" t="str">
        <x:v>CAN-</x:v>
      </x:c>
      <x:c r="E39" s="17" t="str">
        <x:v>TestPoint_THTPad_D2.0mm_Drill1.0mm</x:v>
      </x:c>
      <x:c r="F39" s="17" t="str"/>
      <x:c r="G39" s="17" t="str"/>
      <x:c r="H39" s="17" t="str"/>
      <x:c r="I39" s="17" t="str">
        <x:v>Optional physical test point; select matching footprint.</x:v>
      </x:c>
      <x:c r="J39" s="17" t="str"/>
    </x:row>
    <x:row r="40" ht="36" customHeight="1">
      <x:c r="A40" s="20" t="n">
        <x:v>39</x:v>
      </x:c>
      <x:c r="B40" s="17" t="str">
        <x:v>TP7</x:v>
      </x:c>
      <x:c r="C40" s="20" t="n">
        <x:v>1</x:v>
      </x:c>
      <x:c r="D40" s="17" t="str">
        <x:v>+3V3</x:v>
      </x:c>
      <x:c r="E40" s="17" t="str">
        <x:v>TestPoint_THTPad_D2.0mm_Drill1.0mm</x:v>
      </x:c>
      <x:c r="F40" s="17" t="str"/>
      <x:c r="G40" s="17" t="str"/>
      <x:c r="H40" s="17" t="str"/>
      <x:c r="I40" s="17" t="str">
        <x:v>Optional physical test point; select matching footprint.</x:v>
      </x:c>
      <x:c r="J40" s="17" t="str"/>
    </x:row>
    <x:row r="41" ht="36" customHeight="1">
      <x:c r="A41" s="20" t="n">
        <x:v>40</x:v>
      </x:c>
      <x:c r="B41" s="17" t="str">
        <x:v>TP8</x:v>
      </x:c>
      <x:c r="C41" s="20" t="n">
        <x:v>1</x:v>
      </x:c>
      <x:c r="D41" s="17" t="str">
        <x:v>VIN_LDO</x:v>
      </x:c>
      <x:c r="E41" s="17" t="str">
        <x:v>TestPoint_THTPad_D2.0mm_Drill1.0mm</x:v>
      </x:c>
      <x:c r="F41" s="17" t="str"/>
      <x:c r="G41" s="17" t="str"/>
      <x:c r="H41" s="17" t="str"/>
      <x:c r="I41" s="17" t="str">
        <x:v>Optional physical test point; select matching footprint.</x:v>
      </x:c>
      <x:c r="J41" s="17" t="str"/>
    </x:row>
    <x:row r="42" ht="36" customHeight="1">
      <x:c r="A42" s="20" t="n">
        <x:v>41</x:v>
      </x:c>
      <x:c r="B42" s="17" t="str">
        <x:v>TP9</x:v>
      </x:c>
      <x:c r="C42" s="20" t="n">
        <x:v>1</x:v>
      </x:c>
      <x:c r="D42" s="17" t="str">
        <x:v>GND</x:v>
      </x:c>
      <x:c r="E42" s="17" t="str">
        <x:v>TestPoint_THTPad_D2.0mm_Drill1.0mm</x:v>
      </x:c>
      <x:c r="F42" s="17" t="str"/>
      <x:c r="G42" s="17" t="str"/>
      <x:c r="H42" s="17" t="str"/>
      <x:c r="I42" s="17" t="str">
        <x:v>Optional physical test point; select matching footprint.</x:v>
      </x:c>
      <x:c r="J42" s="17" t="str"/>
    </x:row>
    <x:row r="43" ht="36" customHeight="1">
      <x:c r="A43" s="20" t="n">
        <x:v>42</x:v>
      </x:c>
      <x:c r="B43" s="17" t="str">
        <x:v>U1</x:v>
      </x:c>
      <x:c r="C43" s="20" t="n">
        <x:v>1</x:v>
      </x:c>
      <x:c r="D43" s="17" t="str">
        <x:v>AP2112K-3.3</x:v>
      </x:c>
      <x:c r="E43" s="17" t="str">
        <x:v>SOT-23-5_HandSoldering</x:v>
      </x:c>
      <x:c r="F43" s="17" t="str"/>
      <x:c r="G43" s="17" t="str">
        <x:v>AP2112K-3.3</x:v>
      </x:c>
      <x:c r="H43" s="17" t="str"/>
      <x:c r="I43" s="17" t="str">
        <x:v>Match package and ordering suffix.</x:v>
      </x:c>
      <x:c r="J43" s="17" t="str">
        <x:v>Part identifier from schematic value; verify exact ordering code.</x:v>
      </x:c>
    </x:row>
    <x:row r="44" ht="36" customHeight="1">
      <x:c r="A44" s="20" t="n">
        <x:v>43</x:v>
      </x:c>
      <x:c r="B44" s="17" t="str">
        <x:v>U2</x:v>
      </x:c>
      <x:c r="C44" s="20" t="n">
        <x:v>1</x:v>
      </x:c>
      <x:c r="D44" s="17" t="str">
        <x:v>STM32F072CBTx</x:v>
      </x:c>
      <x:c r="E44" s="17" t="str">
        <x:v>LQFP-48_7x7mm_P0.5mm</x:v>
      </x:c>
      <x:c r="F44" s="17" t="str"/>
      <x:c r="G44" s="17" t="str"/>
      <x:c r="H44" s="17" t="str"/>
      <x:c r="I44" s="17" t="str">
        <x:v>Select exact supplier part matching value and footprint.</x:v>
      </x:c>
      <x:c r="J44" s="17" t="str"/>
    </x:row>
    <x:row r="45" ht="36" customHeight="1">
      <x:c r="A45" s="20" t="n">
        <x:v>44</x:v>
      </x:c>
      <x:c r="B45" s="17" t="str">
        <x:v>U3</x:v>
      </x:c>
      <x:c r="C45" s="20" t="n">
        <x:v>1</x:v>
      </x:c>
      <x:c r="D45" s="17" t="str">
        <x:v>USBLC6-2SC6</x:v>
      </x:c>
      <x:c r="E45" s="17" t="str">
        <x:v>SOT-23-6</x:v>
      </x:c>
      <x:c r="F45" s="17" t="str"/>
      <x:c r="G45" s="17" t="str">
        <x:v>USBLC6-2SC6</x:v>
      </x:c>
      <x:c r="H45" s="17" t="str"/>
      <x:c r="I45" s="17" t="str">
        <x:v>Match package and ordering suffix.</x:v>
      </x:c>
      <x:c r="J45" s="17" t="str">
        <x:v>Part identifier from schematic value; verify exact ordering code.</x:v>
      </x:c>
    </x:row>
    <x:row r="46" ht="36" customHeight="1">
      <x:c r="A46" s="20" t="n">
        <x:v>45</x:v>
      </x:c>
      <x:c r="B46" s="17" t="str">
        <x:v>U4</x:v>
      </x:c>
      <x:c r="C46" s="20" t="n">
        <x:v>1</x:v>
      </x:c>
      <x:c r="D46" s="17" t="str">
        <x:v>TCAN337</x:v>
      </x:c>
      <x:c r="E46" s="17" t="str">
        <x:v>SOIC-8_3.9x4.9mm_P1.27mm</x:v>
      </x:c>
      <x:c r="F46" s="17" t="str"/>
      <x:c r="G46" s="17" t="str">
        <x:v>TCAN337</x:v>
      </x:c>
      <x:c r="H46" s="17" t="str"/>
      <x:c r="I46" s="17" t="str">
        <x:v>Match package and ordering suffix.</x:v>
      </x:c>
      <x:c r="J46" s="17" t="str">
        <x:v>Part identifier from schematic value; verify exact ordering code.</x:v>
      </x:c>
    </x:row>
    <x:row r="47" ht="36" customHeight="1">
      <x:c r="A47" s="20" t="n">
        <x:v>46</x:v>
      </x:c>
      <x:c r="B47" s="17" t="str">
        <x:v>U5,U7</x:v>
      </x:c>
      <x:c r="C47" s="20" t="n">
        <x:v>2</x:v>
      </x:c>
      <x:c r="D47" s="17" t="str">
        <x:v>TLV9062xD</x:v>
      </x:c>
      <x:c r="E47" s="17" t="str">
        <x:v>SOIC-8_3.9x4.9mm_P1.27mm</x:v>
      </x:c>
      <x:c r="F47" s="17" t="str"/>
      <x:c r="G47" s="17" t="str"/>
      <x:c r="H47" s="17" t="str"/>
      <x:c r="I47" s="17" t="str">
        <x:v>Select exact supplier part matching value and footprint.</x:v>
      </x:c>
      <x:c r="J47" s="17" t="str"/>
    </x:row>
    <x:row r="48" ht="36" customHeight="1">
      <x:c r="A48" s="20" t="n">
        <x:v>47</x:v>
      </x:c>
      <x:c r="B48" s="17" t="str">
        <x:v>U6</x:v>
      </x:c>
      <x:c r="C48" s="20" t="n">
        <x:v>1</x:v>
      </x:c>
      <x:c r="D48" s="17" t="str">
        <x:v>LMR33610ADDAR</x:v>
      </x:c>
      <x:c r="E48" s="17" t="str">
        <x:v>LMR33610_HSOP8_SolidGND</x:v>
      </x:c>
      <x:c r="F48" s="17" t="str"/>
      <x:c r="G48" s="17" t="str">
        <x:v>LMR33610ADDAR</x:v>
      </x:c>
      <x:c r="H48" s="17" t="str"/>
      <x:c r="I48" s="17" t="str">
        <x:v>Match package and ordering suffix.</x:v>
      </x:c>
      <x:c r="J48" s="17" t="str">
        <x:v>Part identifier from schematic value; verify exact ordering code.</x:v>
      </x:c>
    </x:row>
    <x:row r="49" ht="36" customHeight="1">
      <x:c r="A49" s="20" t="n">
        <x:v>48</x:v>
      </x:c>
      <x:c r="B49" s="17" t="str">
        <x:v>Y1</x:v>
      </x:c>
      <x:c r="C49" s="20" t="n">
        <x:v>1</x:v>
      </x:c>
      <x:c r="D49" s="17" t="str">
        <x:v>ABM8AIG-24.000MHz-8-2Z-T</x:v>
      </x:c>
      <x:c r="E49" s="17" t="str">
        <x:v>ABM8AIG-24.000MHZ-8-2Z-T</x:v>
      </x:c>
      <x:c r="F49" s="17" t="str">
        <x:v>Abracon</x:v>
      </x:c>
      <x:c r="G49" s="17" t="str">
        <x:v>ABM8AIG-24.000MHz-8-2Z-T</x:v>
      </x:c>
      <x:c r="H49" s="17" t="str"/>
      <x:c r="I49" s="17" t="str">
        <x:v>Match package and ordering suffix.</x:v>
      </x:c>
      <x:c r="J49" s="17" t="str">
        <x:v>Part identifier from schematic value; verify exact ordering code.</x:v>
      </x:c>
    </x:row>
    <x:row r="51">
      <x:c r="A51" s="22"/>
      <x:c r="B51" s="22" t="str">
        <x:v>TOTAL PLACEMENTS</x:v>
      </x:c>
      <x:c r="C51" s="22" t="n">
        <x:f>SUM(C2:C49)</x:f>
        <x:v>99</x:v>
      </x:c>
      <x:c r="D51" s="22"/>
      <x:c r="E51" s="22"/>
      <x:c r="F51" s="22"/>
      <x:c r="G51" s="22"/>
      <x:c r="H51" s="22"/>
      <x:c r="I51" s="22"/>
      <x:c r="J51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4" customWidth="1"/>
    <x:col min="2" max="2" width="22" customWidth="1"/>
    <x:col min="3" max="3" width="72" customWidth="1"/>
    <x:col min="4" max="4" width="80" customWidth="1"/>
  </x:cols>
  <x:sheetData>
    <x:row r="1">
      <x:c r="A1" s="5" t="inlineStr">
        <x:is>
          <x:t xml:space="preserve">Item</x:t>
        </x:is>
      </x:c>
      <x:c r="B1" s="5" t="inlineStr">
        <x:is>
          <x:t xml:space="preserve">Severity</x:t>
        </x:is>
      </x:c>
      <x:c r="C1" s="5" t="inlineStr">
        <x:is>
          <x:t xml:space="preserve">What it is</x:t>
        </x:is>
      </x:c>
      <x:c r="D1" s="5" t="inlineStr">
        <x:is>
          <x:t xml:space="preserve">What to do before / when ordering</x:t>
        </x:is>
      </x:c>
    </x:row>
    <x:row r="2" ht="65" customHeight="1">
      <x:c r="A2" s="8" t="str">
        <x:v>Supplier selection</x:v>
      </x:c>
      <x:c r="B2" s="8" t="str">
        <x:v>TO COMPLETE</x:v>
      </x:c>
      <x:c r="C2" s="8" t="str">
        <x:v>Rows without an exact MPN require part selection.</x:v>
      </x:c>
      <x:c r="D2" s="8" t="str">
        <x:v>Use the value, footprint and listed specifications. Blank DigiKey numbers have not been sourced.</x:v>
      </x:c>
    </x:row>
    <x:row r="3" ht="65" customHeight="1">
      <x:c r="A3" s="8" t="str">
        <x:v>DigiKey Upload</x:v>
      </x:c>
      <x:c r="B3" s="8" t="str">
        <x:v>SCOPE</x:v>
      </x:c>
      <x:c r="C3" s="8" t="str">
        <x:v>Only explicit schematic MPNs and non-inferred existing BOM MPNs are included.</x:v>
      </x:c>
      <x:c r="D3" s="8" t="str">
        <x:v>Resolve rows with missing or inferred part numbers on the BOM before adding them to an order.</x:v>
      </x:c>
    </x:row>
    <x:row r="4" ht="65" customHeight="1">
      <x:c r="A4" s="23" t="str">
        <x:v>Quantity basis</x:v>
      </x:c>
      <x:c r="B4" s="23" t="str">
        <x:v>INFO</x:v>
      </x:c>
      <x:c r="C4" s="23" t="str">
        <x:v>99 BOM-included board items; one board.</x:v>
      </x:c>
      <x:c r="D4" s="23" t="str">
        <x:v>Excludes: H1, H2, H3, H4. Optional test points and bare wire pads may not require purchased parts.</x:v>
      </x:c>
    </x:row>
    <x:row r="5" ht="65" customHeight="1">
      <x:c r="A5" s="9" t="str">
        <x:v>Source</x:v>
      </x:c>
      <x:c r="B5" s="9" t="str">
        <x:v>INFO</x:v>
      </x:c>
      <x:c r="C5" s="9" t="str">
        <x:v>Current apppd.kicad_pcb and matching schematic, 2026-09-15.</x:v>
      </x:c>
      <x:c r="D5" s="9" t="str">
        <x:v>Quantities and footprints use the PCB. Part metadata uses the schematic.</x:v>
      </x:c>
    </x:row>
    <x:row r="6">
      <x:c r="A6" s="3"/>
      <x:c r="B6" s="3"/>
      <x:c r="C6" s="3"/>
      <x:c r="D6" s="3"/>
    </x:row>
    <x:row r="7">
      <x:c r="A7" s="3"/>
      <x:c r="B7" s="3"/>
      <x:c r="C7" s="3"/>
      <x:c r="D7" s="3"/>
    </x:row>
    <x:row r="8">
      <x:c r="A8" s="3"/>
      <x:c r="B8" s="3"/>
      <x:c r="C8" s="3"/>
      <x:c r="D8" s="3"/>
    </x:row>
    <x:row r="9">
      <x:c r="A9" s="3"/>
      <x:c r="B9" s="3"/>
      <x:c r="C9" s="3"/>
      <x:c r="D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0" customWidth="1"/>
    <x:col min="3" max="3" width="34" customWidth="1"/>
  </x:cols>
  <x:sheetData>
    <x:row r="1">
      <x:c r="A1" s="7" t="inlineStr">
        <x:is>
          <x:t xml:space="preserve">Manufacturer Part Number</x:t>
        </x:is>
      </x:c>
      <x:c r="B1" s="7" t="inlineStr">
        <x:is>
          <x:t xml:space="preserve">Quantity</x:t>
        </x:is>
      </x:c>
      <x:c r="C1" s="7" t="inlineStr">
        <x:is>
          <x:t xml:space="preserve">Customer Reference</x:t>
        </x:is>
      </x:c>
    </x:row>
    <x:row r="2" ht="25" customHeight="1">
      <x:c r="A2" t="str">
        <x:v>SMF16A</x:v>
      </x:c>
      <x:c r="B2" s="24" t="n">
        <x:v>1</x:v>
      </x:c>
      <x:c r="C2" t="str">
        <x:v>D2</x:v>
      </x:c>
    </x:row>
    <x:row r="3" ht="25" customHeight="1">
      <x:c r="A3" t="str">
        <x:v>AQ1005-01ETG</x:v>
      </x:c>
      <x:c r="B3" s="24" t="n">
        <x:v>4</x:v>
      </x:c>
      <x:c r="C3" t="str">
        <x:v>D4,D6,D9,D12</x:v>
      </x:c>
    </x:row>
    <x:row r="4" ht="25" customHeight="1">
      <x:c r="A4" t="str">
        <x:v>XL-2012SURUGC</x:v>
      </x:c>
      <x:c r="B4" s="24" t="n">
        <x:v>1</x:v>
      </x:c>
      <x:c r="C4" t="str">
        <x:v>LED1</x:v>
      </x:c>
    </x:row>
    <x:row r="5" ht="25" customHeight="1">
      <x:c r="A5" t="str">
        <x:v>TS-1088-AR02016</x:v>
      </x:c>
      <x:c r="B5" s="24" t="n">
        <x:v>2</x:v>
      </x:c>
      <x:c r="C5" t="str">
        <x:v>SW1,SW2</x:v>
      </x:c>
    </x:row>
    <x:row r="6">
      <x:c r="A6"/>
      <x:c r="B6"/>
      <x:c r="C6"/>
    </x:row>
    <x:row r="7" ht="34" customHeight="1">
      <x:c r="A7" s="25" t="str">
        <x:v>Only source-specified MPNs are listed. Complete missing or inferred part numbers on the BOM before ordering.</x:v>
      </x:c>
      <x:c r="B7" s="25"/>
      <x:c r="C7" s="25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7">
      <x:c r="A17"/>
    </x:row>
    <x:row r="18">
      <x:c r="A18"/>
    </x:row>
  </x:sheetData>
  <x:mergeCells>
    <x:mergeCell ref="A7:C7"/>
  </x:mergeCells>
  <x:pageMargins left="0.7" right="0.7" top="0.75" bottom="0.75" header="0.3" footer="0.3"/>
</x:worksheet>
</file>